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5511d167f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6414cf677074af3"/>
    <x:sheet xmlns:r="http://schemas.openxmlformats.org/officeDocument/2006/relationships" name="Farmers" sheetId="2" r:id="R6157652d58d3497c"/>
    <x:sheet xmlns:r="http://schemas.openxmlformats.org/officeDocument/2006/relationships" name="Users" sheetId="3" r:id="R89e88859ffed48e1"/>
    <x:sheet xmlns:r="http://schemas.openxmlformats.org/officeDocument/2006/relationships" name="Storage_Locations" sheetId="4" r:id="Rf7846a89cfa54d78"/>
    <x:sheet xmlns:r="http://schemas.openxmlformats.org/officeDocument/2006/relationships" name="Lots" sheetId="5" r:id="Rb38b3f1394b84912"/>
    <x:sheet xmlns:r="http://schemas.openxmlformats.org/officeDocument/2006/relationships" name="Procurements" sheetId="6" r:id="Rdc12f7d13b75474e"/>
    <x:sheet xmlns:r="http://schemas.openxmlformats.org/officeDocument/2006/relationships" name="QIRB_Readings" sheetId="7" r:id="Rad8a76b9543b4c9f"/>
    <x:sheet xmlns:r="http://schemas.openxmlformats.org/officeDocument/2006/relationships" name="QIRB_Summary" sheetId="8" r:id="R81de2c4592ba43a1"/>
    <x:sheet xmlns:r="http://schemas.openxmlformats.org/officeDocument/2006/relationships" name="Bags" sheetId="9" r:id="Rfa5a1fa4df0b4435"/>
    <x:sheet xmlns:r="http://schemas.openxmlformats.org/officeDocument/2006/relationships" name="Storage_Movements" sheetId="10" r:id="R66933ab91e8046ce"/>
    <x:sheet xmlns:r="http://schemas.openxmlformats.org/officeDocument/2006/relationships" name="Environment_Logs" sheetId="11" r:id="R0ca92cc7b3824c07"/>
    <x:sheet xmlns:r="http://schemas.openxmlformats.org/officeDocument/2006/relationships" name="Exception_Log" sheetId="12" r:id="Rb1d36258a6d0453a"/>
    <x:sheet xmlns:r="http://schemas.openxmlformats.org/officeDocument/2006/relationships" name="Inventory_Ledger" sheetId="13" r:id="Rbe5b1e330f044082"/>
    <x:sheet xmlns:r="http://schemas.openxmlformats.org/officeDocument/2006/relationships" name="Audit_Log" sheetId="14" r:id="Rae0824349b00460a"/>
    <x:sheet xmlns:r="http://schemas.openxmlformats.org/officeDocument/2006/relationships" name="Validation_Lists" sheetId="15" r:id="R1d0c09f5c40a44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125ae48c54560" /><Relationship Type="http://schemas.openxmlformats.org/officeDocument/2006/relationships/theme" Target="/xl/theme/theme1.xml" Id="R0814e01111bb4a85" /><Relationship Type="http://schemas.openxmlformats.org/officeDocument/2006/relationships/sharedStrings" Target="/xl/sharedStrings.xml" Id="Ra2a723e75c334853" /><Relationship Type="http://schemas.openxmlformats.org/officeDocument/2006/relationships/worksheet" Target="/xl/worksheets/sheet1.xml" Id="R56414cf677074af3" /><Relationship Type="http://schemas.openxmlformats.org/officeDocument/2006/relationships/worksheet" Target="/xl/worksheets/sheet2.xml" Id="R6157652d58d3497c" /><Relationship Type="http://schemas.openxmlformats.org/officeDocument/2006/relationships/worksheet" Target="/xl/worksheets/sheet3.xml" Id="R89e88859ffed48e1" /><Relationship Type="http://schemas.openxmlformats.org/officeDocument/2006/relationships/worksheet" Target="/xl/worksheets/sheet4.xml" Id="Rf7846a89cfa54d78" /><Relationship Type="http://schemas.openxmlformats.org/officeDocument/2006/relationships/worksheet" Target="/xl/worksheets/sheet5.xml" Id="Rb38b3f1394b84912" /><Relationship Type="http://schemas.openxmlformats.org/officeDocument/2006/relationships/worksheet" Target="/xl/worksheets/sheet6.xml" Id="Rdc12f7d13b75474e" /><Relationship Type="http://schemas.openxmlformats.org/officeDocument/2006/relationships/worksheet" Target="/xl/worksheets/sheet7.xml" Id="Rad8a76b9543b4c9f" /><Relationship Type="http://schemas.openxmlformats.org/officeDocument/2006/relationships/worksheet" Target="/xl/worksheets/sheet8.xml" Id="R81de2c4592ba43a1" /><Relationship Type="http://schemas.openxmlformats.org/officeDocument/2006/relationships/worksheet" Target="/xl/worksheets/sheet9.xml" Id="Rfa5a1fa4df0b4435" /><Relationship Type="http://schemas.openxmlformats.org/officeDocument/2006/relationships/worksheet" Target="/xl/worksheets/sheet10.xml" Id="R66933ab91e8046ce" /><Relationship Type="http://schemas.openxmlformats.org/officeDocument/2006/relationships/worksheet" Target="/xl/worksheets/sheet11.xml" Id="R0ca92cc7b3824c07" /><Relationship Type="http://schemas.openxmlformats.org/officeDocument/2006/relationships/worksheet" Target="/xl/worksheets/sheet12.xml" Id="Rb1d36258a6d0453a" /><Relationship Type="http://schemas.openxmlformats.org/officeDocument/2006/relationships/worksheet" Target="/xl/worksheets/sheet13.xml" Id="Rbe5b1e330f044082" /><Relationship Type="http://schemas.openxmlformats.org/officeDocument/2006/relationships/worksheet" Target="/xl/worksheets/sheet14.xml" Id="Rae0824349b00460a" /><Relationship Type="http://schemas.openxmlformats.org/officeDocument/2006/relationships/worksheet" Target="/xl/worksheets/sheet15.xml" Id="R1d0c09f5c40a44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Section</x:v>
      </x:c>
      <x:c r="B1" t="str">
        <x:v>Details</x:v>
      </x:c>
    </x:row>
    <x:row r="2">
      <x:c r="A2" t="str">
        <x:v>Purpose</x:v>
      </x:c>
      <x:c r="B2" t="str">
        <x:v>Phase-0 workbook for Gulmi Coffee ERP. One sheet maps to one future ERP table.</x:v>
      </x:c>
    </x:row>
    <x:row r="3">
      <x:c r="A3" t="str">
        <x:v>MVP Chain</x:v>
      </x:c>
      <x:c r="B3" t="str">
        <x:v>Farmer -&gt; Lot -&gt; Procurement -&gt; QIR-B -&gt; Bag -&gt; Storage -&gt; Internal QR</x:v>
      </x:c>
    </x:row>
    <x:row r="4">
      <x:c r="A4" t="str">
        <x:v>Rule</x:v>
      </x:c>
      <x:c r="B4" t="str">
        <x:v>One row equals one master record or document. Posted rows should not be edited.</x:v>
      </x:c>
    </x:row>
    <x:row r="5">
      <x:c r="A5" t="str">
        <x:v>Correction Method</x:v>
      </x:c>
      <x:c r="B5" t="str">
        <x:v>Use adjustment, exception, inventory ledger, and audit rows instead of silent edits.</x:v>
      </x:c>
    </x:row>
    <x:row r="6">
      <x:c r="A6" t="str">
        <x:v>Sensitive Fields</x:v>
      </x:c>
      <x:c r="B6" t="str">
        <x:v>rate_npr, total_npr, payments, costs, and margin are Admin/Manager-only.</x:v>
      </x:c>
    </x:row>
    <x:row r="7">
      <x:c r="A7" t="str">
        <x:v>Color Convention</x:v>
      </x:c>
      <x:c r="B7" t="str">
        <x:v>Grey system-generated, Yellow user-entry, Green calculated, Red sensitive, Blue status/control.</x:v>
      </x:c>
    </x:row>
    <x:row r="8">
      <x:c r="A8" t="str">
        <x:v>Next Use</x:v>
      </x:c>
      <x:c r="B8" t="str">
        <x:v>Use this workbook to pilot one real procurement-to-bag workflow before software development.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farmer_id</x:v>
      </x:c>
      <x:c r="B1" t="str">
        <x:v>farmer_code</x:v>
      </x:c>
      <x:c r="C1" t="str">
        <x:v>farmer_name</x:v>
      </x:c>
      <x:c r="D1" t="str">
        <x:v>father_or_family_name</x:v>
      </x:c>
      <x:c r="E1" t="str">
        <x:v>phone</x:v>
      </x:c>
      <x:c r="F1" t="str">
        <x:v>village</x:v>
      </x:c>
      <x:c r="G1" t="str">
        <x:v>municipality</x:v>
      </x:c>
      <x:c r="H1" t="str">
        <x:v>district</x:v>
      </x:c>
      <x:c r="I1" t="str">
        <x:v>ward_no</x:v>
      </x:c>
      <x:c r="J1" t="str">
        <x:v>gps_location</x:v>
      </x:c>
      <x:c r="K1" t="str">
        <x:v>photo_url</x:v>
      </x:c>
      <x:c r="L1" t="str">
        <x:v>bank_or_wallet</x:v>
      </x:c>
      <x:c r="M1" t="str">
        <x:v>farmer_type</x:v>
      </x:c>
      <x:c r="N1" t="str">
        <x:v>active_status</x:v>
      </x:c>
      <x:c r="O1" t="str">
        <x:v>notes</x:v>
      </x:c>
      <x:c r="P1" t="str">
        <x:v>created_at</x:v>
      </x:c>
      <x:c r="Q1" t="str">
        <x:v>created_by</x:v>
      </x:c>
    </x:row>
    <x:row r="2">
      <x:c r="A2" t="str">
        <x:v>AUTO</x:v>
      </x:c>
      <x:c r="B2" t="str">
        <x:v>FARM-2026-000001</x:v>
      </x:c>
      <x:c r="C2" t="str">
        <x:v>Ram Bahadur</x:v>
      </x:c>
      <x:c r="D2" t="str">
        <x:v>Bahadur Family</x:v>
      </x:c>
      <x:c r="E2" t="str">
        <x:v>98XXXXXXXX</x:v>
      </x:c>
      <x:c r="F2" t="str">
        <x:v>Tamghas</x:v>
      </x:c>
      <x:c r="G2" t="str">
        <x:v>Resunga</x:v>
      </x:c>
      <x:c r="H2" t="str">
        <x:v>Gulmi</x:v>
      </x:c>
      <x:c r="I2" t="str">
        <x:v>4</x:v>
      </x:c>
      <x:c r="J2" t="str"/>
      <x:c r="K2" t="str"/>
      <x:c r="L2" t="str">
        <x:v>eSewa/Bank</x:v>
      </x:c>
      <x:c r="M2" t="str">
        <x:v>farmer</x:v>
      </x:c>
      <x:c r="N2" t="str">
        <x:v>active</x:v>
      </x:c>
      <x:c r="O2" t="str">
        <x:v>Sample farmer for pilot workflow</x:v>
      </x:c>
      <x:c r="P2" t="str">
        <x:v>2026-06-11 09:00</x:v>
      </x:c>
      <x:c r="Q2" t="str">
        <x:v>Admin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user_id</x:v>
      </x:c>
      <x:c r="B1" t="str">
        <x:v>user_code</x:v>
      </x:c>
      <x:c r="C1" t="str">
        <x:v>full_name</x:v>
      </x:c>
      <x:c r="D1" t="str">
        <x:v>phone</x:v>
      </x:c>
      <x:c r="E1" t="str">
        <x:v>role</x:v>
      </x:c>
      <x:c r="F1" t="str">
        <x:v>active_status</x:v>
      </x:c>
      <x:c r="G1" t="str">
        <x:v>created_at</x:v>
      </x:c>
      <x:c r="H1" t="str">
        <x:v>created_by</x:v>
      </x:c>
    </x:row>
    <x:row r="2">
      <x:c r="A2" t="str">
        <x:v>AUTO</x:v>
      </x:c>
      <x:c r="B2" t="str">
        <x:v>USER-2026-000001</x:v>
      </x:c>
      <x:c r="C2" t="str">
        <x:v>Admin User</x:v>
      </x:c>
      <x:c r="D2" t="str">
        <x:v>98XXXXXXXX</x:v>
      </x:c>
      <x:c r="E2" t="str">
        <x:v>Admin</x:v>
      </x:c>
      <x:c r="F2" t="str">
        <x:v>active</x:v>
      </x:c>
      <x:c r="G2" t="str">
        <x:v>2026-06-11 09:00</x:v>
      </x:c>
      <x:c r="H2" t="str">
        <x:v>Admin</x:v>
      </x:c>
    </x:row>
    <x:row r="3">
      <x:c r="A3" t="str">
        <x:v>AUTO</x:v>
      </x:c>
      <x:c r="B3" t="str">
        <x:v>USER-2026-000002</x:v>
      </x:c>
      <x:c r="C3" t="str">
        <x:v>Quality User</x:v>
      </x:c>
      <x:c r="D3" t="str">
        <x:v>98XXXXXXXX</x:v>
      </x:c>
      <x:c r="E3" t="str">
        <x:v>Quality</x:v>
      </x:c>
      <x:c r="F3" t="str">
        <x:v>active</x:v>
      </x:c>
      <x:c r="G3" t="str">
        <x:v>2026-06-11 09:00</x:v>
      </x:c>
      <x:c r="H3" t="str">
        <x:v>Admin</x:v>
      </x:c>
    </x:row>
    <x:row r="4">
      <x:c r="A4" t="str">
        <x:v>AUTO</x:v>
      </x:c>
      <x:c r="B4" t="str">
        <x:v>USER-2026-000003</x:v>
      </x:c>
      <x:c r="C4" t="str">
        <x:v>Storage User</x:v>
      </x:c>
      <x:c r="D4" t="str">
        <x:v>98XXXXXXXX</x:v>
      </x:c>
      <x:c r="E4" t="str">
        <x:v>Storage</x:v>
      </x:c>
      <x:c r="F4" t="str">
        <x:v>active</x:v>
      </x:c>
      <x:c r="G4" t="str">
        <x:v>2026-06-11 09:00</x:v>
      </x:c>
      <x:c r="H4" t="str">
        <x:v>Admin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location_id</x:v>
      </x:c>
      <x:c r="B1" t="str">
        <x:v>location_code</x:v>
      </x:c>
      <x:c r="C1" t="str">
        <x:v>location_name</x:v>
      </x:c>
      <x:c r="D1" t="str">
        <x:v>location_type</x:v>
      </x:c>
      <x:c r="E1" t="str">
        <x:v>parent_location_code</x:v>
      </x:c>
      <x:c r="F1" t="str">
        <x:v>active_status</x:v>
      </x:c>
      <x:c r="G1" t="str">
        <x:v>notes</x:v>
      </x:c>
      <x:c r="H1" t="str">
        <x:v>created_at</x:v>
      </x:c>
      <x:c r="I1" t="str">
        <x:v>created_by</x:v>
      </x:c>
    </x:row>
    <x:row r="2">
      <x:c r="A2" t="str">
        <x:v>AUTO</x:v>
      </x:c>
      <x:c r="B2" t="str">
        <x:v>WH-001</x:v>
      </x:c>
      <x:c r="C2" t="str">
        <x:v>Main Warehouse</x:v>
      </x:c>
      <x:c r="D2" t="str">
        <x:v>warehouse</x:v>
      </x:c>
      <x:c r="E2" t="str"/>
      <x:c r="F2" t="str">
        <x:v>active</x:v>
      </x:c>
      <x:c r="G2" t="str">
        <x:v>Main storage building</x:v>
      </x:c>
      <x:c r="H2" t="str">
        <x:v>2026-06-11 09:00</x:v>
      </x:c>
      <x:c r="I2" t="str">
        <x:v>Admin</x:v>
      </x:c>
    </x:row>
    <x:row r="3">
      <x:c r="A3" t="str">
        <x:v>AUTO</x:v>
      </x:c>
      <x:c r="B3" t="str">
        <x:v>RACK-PAR-001</x:v>
      </x:c>
      <x:c r="C3" t="str">
        <x:v>Parchment Rack 1</x:v>
      </x:c>
      <x:c r="D3" t="str">
        <x:v>rack</x:v>
      </x:c>
      <x:c r="E3" t="str">
        <x:v>WH-001</x:v>
      </x:c>
      <x:c r="F3" t="str">
        <x:v>active</x:v>
      </x:c>
      <x:c r="G3" t="str">
        <x:v>For parchment bags</x:v>
      </x:c>
      <x:c r="H3" t="str">
        <x:v>2026-06-11 09:00</x:v>
      </x:c>
      <x:c r="I3" t="str">
        <x:v>Admin</x:v>
      </x:c>
    </x:row>
    <x:row r="4">
      <x:c r="A4" t="str">
        <x:v>AUTO</x:v>
      </x:c>
      <x:c r="B4" t="str">
        <x:v>RACK-GRN-001</x:v>
      </x:c>
      <x:c r="C4" t="str">
        <x:v>Green Bean Rack 1</x:v>
      </x:c>
      <x:c r="D4" t="str">
        <x:v>rack</x:v>
      </x:c>
      <x:c r="E4" t="str">
        <x:v>WH-001</x:v>
      </x:c>
      <x:c r="F4" t="str">
        <x:v>active</x:v>
      </x:c>
      <x:c r="G4" t="str">
        <x:v>For green beans</x:v>
      </x:c>
      <x:c r="H4" t="str">
        <x:v>2026-06-11 09:00</x:v>
      </x:c>
      <x:c r="I4" t="str">
        <x:v>Admin</x:v>
      </x:c>
    </x:row>
    <x:row r="5">
      <x:c r="A5" t="str">
        <x:v>AUTO</x:v>
      </x:c>
      <x:c r="B5" t="str">
        <x:v>HOLD-001</x:v>
      </x:c>
      <x:c r="C5" t="str">
        <x:v>Defect/Recheck Area</x:v>
      </x:c>
      <x:c r="D5" t="str">
        <x:v>hold_area</x:v>
      </x:c>
      <x:c r="E5" t="str">
        <x:v>WH-001</x:v>
      </x:c>
      <x:c r="F5" t="str">
        <x:v>active</x:v>
      </x:c>
      <x:c r="G5" t="str">
        <x:v>Risk or rejected bags</x:v>
      </x:c>
      <x:c r="H5" t="str">
        <x:v>2026-06-11 09:00</x:v>
      </x:c>
      <x:c r="I5" t="str">
        <x:v>Admin</x:v>
      </x:c>
    </x:row>
    <x:row r="6">
      <x:c r="A6" t="str">
        <x:v>AUTO</x:v>
      </x:c>
      <x:c r="B6" t="str">
        <x:v>DRY-001</x:v>
      </x:c>
      <x:c r="C6" t="str">
        <x:v>Solar Drying Area</x:v>
      </x:c>
      <x:c r="D6" t="str">
        <x:v>drying_area</x:v>
      </x:c>
      <x:c r="E6" t="str"/>
      <x:c r="F6" t="str">
        <x:v>active</x:v>
      </x:c>
      <x:c r="G6" t="str">
        <x:v>Drying area</x:v>
      </x:c>
      <x:c r="H6" t="str">
        <x:v>2026-06-11 09:00</x:v>
      </x:c>
      <x:c r="I6" t="str">
        <x:v>Admin</x:v>
      </x:c>
    </x:row>
    <x:row r="7">
      <x:c r="A7" t="str">
        <x:v>AUTO</x:v>
      </x:c>
      <x:c r="B7" t="str">
        <x:v>PROD-HULL-001</x:v>
      </x:c>
      <x:c r="C7" t="str">
        <x:v>Hulling Area</x:v>
      </x:c>
      <x:c r="D7" t="str">
        <x:v>production_area</x:v>
      </x:c>
      <x:c r="E7" t="str"/>
      <x:c r="F7" t="str">
        <x:v>active</x:v>
      </x:c>
      <x:c r="G7" t="str">
        <x:v>Hulling input area</x:v>
      </x:c>
      <x:c r="H7" t="str">
        <x:v>2026-06-11 09:00</x:v>
      </x:c>
      <x:c r="I7" t="str">
        <x:v>Admin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lot_id</x:v>
      </x:c>
      <x:c r="B1" t="str">
        <x:v>lot_code</x:v>
      </x:c>
      <x:c r="C1" t="str">
        <x:v>farmer_code</x:v>
      </x:c>
      <x:c r="D1" t="str">
        <x:v>item_type</x:v>
      </x:c>
      <x:c r="E1" t="str">
        <x:v>harvest_year</x:v>
      </x:c>
      <x:c r="F1" t="str">
        <x:v>lot_status</x:v>
      </x:c>
      <x:c r="G1" t="str">
        <x:v>created_at</x:v>
      </x:c>
      <x:c r="H1" t="str">
        <x:v>created_by</x:v>
      </x:c>
      <x:c r="I1" t="str">
        <x:v>notes</x:v>
      </x:c>
    </x:row>
    <x:row r="2">
      <x:c r="A2" t="str">
        <x:v>AUTO</x:v>
      </x:c>
      <x:c r="B2" t="str">
        <x:v>LOT-2026-000001</x:v>
      </x:c>
      <x:c r="C2" t="str">
        <x:v>FARM-2026-000001</x:v>
      </x:c>
      <x:c r="D2" t="str">
        <x:v>parchment</x:v>
      </x:c>
      <x:c r="E2" t="n">
        <x:v>2026</x:v>
      </x:c>
      <x:c r="F2" t="str">
        <x:v>quality_pending</x:v>
      </x:c>
      <x:c r="G2" t="str">
        <x:v>2026-06-11 09:30</x:v>
      </x:c>
      <x:c r="H2" t="str">
        <x:v>Admin</x:v>
      </x:c>
      <x:c r="I2" t="str">
        <x:v>Sample parchment lot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procurement_id</x:v>
      </x:c>
      <x:c r="B1" t="str">
        <x:v>procurement_code</x:v>
      </x:c>
      <x:c r="C1" t="str">
        <x:v>lot_code</x:v>
      </x:c>
      <x:c r="D1" t="str">
        <x:v>farmer_code</x:v>
      </x:c>
      <x:c r="E1" t="str">
        <x:v>item_type</x:v>
      </x:c>
      <x:c r="F1" t="str">
        <x:v>gross_kg</x:v>
      </x:c>
      <x:c r="G1" t="str">
        <x:v>tare_kg</x:v>
      </x:c>
      <x:c r="H1" t="str">
        <x:v>net_kg</x:v>
      </x:c>
      <x:c r="I1" t="str">
        <x:v>rate_npr</x:v>
      </x:c>
      <x:c r="J1" t="str">
        <x:v>total_npr</x:v>
      </x:c>
      <x:c r="K1" t="str">
        <x:v>received_date</x:v>
      </x:c>
      <x:c r="L1" t="str">
        <x:v>received_by</x:v>
      </x:c>
      <x:c r="M1" t="str">
        <x:v>status</x:v>
      </x:c>
      <x:c r="N1" t="str">
        <x:v>posted_at</x:v>
      </x:c>
      <x:c r="O1" t="str">
        <x:v>notes</x:v>
      </x:c>
    </x:row>
    <x:row r="2">
      <x:c r="A2" t="str">
        <x:v>AUTO</x:v>
      </x:c>
      <x:c r="B2" t="str">
        <x:v>PROC-2026-000001</x:v>
      </x:c>
      <x:c r="C2" t="str">
        <x:v>LOT-2026-000001</x:v>
      </x:c>
      <x:c r="D2" t="str">
        <x:v>FARM-2026-000001</x:v>
      </x:c>
      <x:c r="E2" t="str">
        <x:v>parchment</x:v>
      </x:c>
      <x:c r="F2" t="n">
        <x:v>705</x:v>
      </x:c>
      <x:c r="G2" t="n">
        <x:v>5</x:v>
      </x:c>
      <x:c r="H2" t="n">
        <x:f>F2-G2</x:f>
        <x:v>700</x:v>
      </x:c>
      <x:c r="I2" t="n">
        <x:v>1300</x:v>
      </x:c>
      <x:c r="J2" t="n">
        <x:f>H2*I2</x:f>
        <x:v>910000</x:v>
      </x:c>
      <x:c r="K2" t="str">
        <x:v>2026-06-11 09:45</x:v>
      </x:c>
      <x:c r="L2" t="str">
        <x:v>Manager</x:v>
      </x:c>
      <x:c r="M2" t="str">
        <x:v>posted</x:v>
      </x:c>
      <x:c r="N2" t="str">
        <x:v>2026-06-11 09:45</x:v>
      </x:c>
      <x:c r="O2" t="str">
        <x:v>Sample receipt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reading_id</x:v>
      </x:c>
      <x:c r="B1" t="str">
        <x:v>qirb_code</x:v>
      </x:c>
      <x:c r="C1" t="str">
        <x:v>sequence_no</x:v>
      </x:c>
      <x:c r="D1" t="str">
        <x:v>moisture</x:v>
      </x:c>
      <x:c r="E1" t="str">
        <x:v>density</x:v>
      </x:c>
      <x:c r="F1" t="str">
        <x:v>bean_temp</x:v>
      </x:c>
      <x:c r="G1" t="str">
        <x:v>reading_time</x:v>
      </x:c>
      <x:c r="H1" t="str">
        <x:v>entered_by</x:v>
      </x:c>
    </x:row>
    <x:row r="2">
      <x:c r="A2" t="str">
        <x:v>AUTO</x:v>
      </x:c>
      <x:c r="B2" t="str">
        <x:v>QIRB-2026-000001</x:v>
      </x:c>
      <x:c r="C2" t="n">
        <x:v>1</x:v>
      </x:c>
      <x:c r="D2" t="n">
        <x:v>11.2</x:v>
      </x:c>
      <x:c r="E2" t="n">
        <x:v>670</x:v>
      </x:c>
      <x:c r="F2" t="n">
        <x:v>24.5</x:v>
      </x:c>
      <x:c r="G2" t="str">
        <x:v>2026-06-11 10:00</x:v>
      </x:c>
      <x:c r="H2" t="str">
        <x:v>Quality</x:v>
      </x:c>
    </x:row>
    <x:row r="3">
      <x:c r="A3" t="str">
        <x:v>AUTO</x:v>
      </x:c>
      <x:c r="B3" t="str">
        <x:v>QIRB-2026-000001</x:v>
      </x:c>
      <x:c r="C3" t="n">
        <x:v>2</x:v>
      </x:c>
      <x:c r="D3" t="n">
        <x:v>11.4</x:v>
      </x:c>
      <x:c r="E3" t="n">
        <x:v>665</x:v>
      </x:c>
      <x:c r="F3" t="n">
        <x:v>24.6</x:v>
      </x:c>
      <x:c r="G3" t="str">
        <x:v>2026-06-11 10:01</x:v>
      </x:c>
      <x:c r="H3" t="str">
        <x:v>Quality</x:v>
      </x:c>
    </x:row>
    <x:row r="4">
      <x:c r="A4" t="str">
        <x:v>AUTO</x:v>
      </x:c>
      <x:c r="B4" t="str">
        <x:v>QIRB-2026-000001</x:v>
      </x:c>
      <x:c r="C4" t="n">
        <x:v>3</x:v>
      </x:c>
      <x:c r="D4" t="n">
        <x:v>11.3</x:v>
      </x:c>
      <x:c r="E4" t="n">
        <x:v>668</x:v>
      </x:c>
      <x:c r="F4" t="n">
        <x:v>24.7</x:v>
      </x:c>
      <x:c r="G4" t="str">
        <x:v>2026-06-11 10:02</x:v>
      </x:c>
      <x:c r="H4" t="str">
        <x:v>Quality</x:v>
      </x:c>
    </x:row>
    <x:row r="5">
      <x:c r="A5" t="str">
        <x:v>AUTO</x:v>
      </x:c>
      <x:c r="B5" t="str">
        <x:v>QIRB-2026-000001</x:v>
      </x:c>
      <x:c r="C5" t="n">
        <x:v>4</x:v>
      </x:c>
      <x:c r="D5" t="n">
        <x:v>11.5</x:v>
      </x:c>
      <x:c r="E5" t="n">
        <x:v>662</x:v>
      </x:c>
      <x:c r="F5" t="n">
        <x:v>24.6</x:v>
      </x:c>
      <x:c r="G5" t="str">
        <x:v>2026-06-11 10:03</x:v>
      </x:c>
      <x:c r="H5" t="str">
        <x:v>Quality</x:v>
      </x:c>
    </x:row>
    <x:row r="6">
      <x:c r="A6" t="str">
        <x:v>AUTO</x:v>
      </x:c>
      <x:c r="B6" t="str">
        <x:v>QIRB-2026-000001</x:v>
      </x:c>
      <x:c r="C6" t="n">
        <x:v>5</x:v>
      </x:c>
      <x:c r="D6" t="n">
        <x:v>11.2</x:v>
      </x:c>
      <x:c r="E6" t="n">
        <x:v>671</x:v>
      </x:c>
      <x:c r="F6" t="n">
        <x:v>24.5</x:v>
      </x:c>
      <x:c r="G6" t="str">
        <x:v>2026-06-11 10:04</x:v>
      </x:c>
      <x:c r="H6" t="str">
        <x:v>Quality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qirb_id</x:v>
      </x:c>
      <x:c r="B1" t="str">
        <x:v>qirb_code</x:v>
      </x:c>
      <x:c r="C1" t="str">
        <x:v>subject_type</x:v>
      </x:c>
      <x:c r="D1" t="str">
        <x:v>subject_code</x:v>
      </x:c>
      <x:c r="E1" t="str">
        <x:v>bean_stage</x:v>
      </x:c>
      <x:c r="F1" t="str">
        <x:v>reading_count</x:v>
      </x:c>
      <x:c r="G1" t="str">
        <x:v>avg_moisture</x:v>
      </x:c>
      <x:c r="H1" t="str">
        <x:v>moisture_sd</x:v>
      </x:c>
      <x:c r="I1" t="str">
        <x:v>avg_density</x:v>
      </x:c>
      <x:c r="J1" t="str">
        <x:v>density_sd</x:v>
      </x:c>
      <x:c r="K1" t="str">
        <x:v>avg_bean_temp</x:v>
      </x:c>
      <x:c r="L1" t="str">
        <x:v>bean_temp_sd</x:v>
      </x:c>
      <x:c r="M1" t="str">
        <x:v>estimated_green_yield_pct</x:v>
      </x:c>
      <x:c r="N1" t="str">
        <x:v>decision</x:v>
      </x:c>
      <x:c r="O1" t="str">
        <x:v>status</x:v>
      </x:c>
      <x:c r="P1" t="str">
        <x:v>checked_by</x:v>
      </x:c>
      <x:c r="Q1" t="str">
        <x:v>checked_at</x:v>
      </x:c>
      <x:c r="R1" t="str">
        <x:v>posted_at</x:v>
      </x:c>
      <x:c r="S1" t="str">
        <x:v>notes</x:v>
      </x:c>
    </x:row>
    <x:row r="2">
      <x:c r="A2" t="str">
        <x:v>AUTO</x:v>
      </x:c>
      <x:c r="B2" t="str">
        <x:v>QIRB-2026-000001</x:v>
      </x:c>
      <x:c r="C2" t="str">
        <x:v>lot</x:v>
      </x:c>
      <x:c r="D2" t="str">
        <x:v>LOT-2026-000001</x:v>
      </x:c>
      <x:c r="E2" t="str">
        <x:v>parchment</x:v>
      </x:c>
      <x:c r="F2" t="n">
        <x:f>COUNTIF(QIRB_Readings!B:B,B2)</x:f>
        <x:v>5</x:v>
      </x:c>
      <x:c r="G2" t="n">
        <x:f>AVERAGEIF(QIRB_Readings!B:B,B2,QIRB_Readings!D:D)</x:f>
        <x:v>11.320000000000002</x:v>
      </x:c>
      <x:c r="H2" t="n">
        <x:f>STDEV.S(FILTER(QIRB_Readings!D:D,QIRB_Readings!B:B=B2))</x:f>
        <x:v>0</x:v>
      </x:c>
      <x:c r="I2" t="n">
        <x:f>AVERAGEIF(QIRB_Readings!B:B,B2,QIRB_Readings!E:E)</x:f>
        <x:v>667.2</x:v>
      </x:c>
      <x:c r="J2" t="n">
        <x:f>STDEV.S(FILTER(QIRB_Readings!E:E,QIRB_Readings!B:B=B2))</x:f>
        <x:v>0</x:v>
      </x:c>
      <x:c r="K2" t="n">
        <x:f>AVERAGEIF(QIRB_Readings!B:B,B2,QIRB_Readings!F:F)</x:f>
        <x:v>24.580000000000002</x:v>
      </x:c>
      <x:c r="L2" t="n">
        <x:f>STDEV.S(FILTER(QIRB_Readings!F:F,QIRB_Readings!B:B=B2))</x:f>
        <x:v>0</x:v>
      </x:c>
      <x:c r="M2" t="n">
        <x:f>70+(I2/50)-0.5*(G2-11)</x:f>
        <x:v>83.184</x:v>
      </x:c>
      <x:c r="N2" t="str">
        <x:f>IF(F2&lt;5,"retake",IF(H2&gt;0.7,"retake",IF(J2&gt;50,"retake",IF(I2&lt;300,"retake",IF(AND(E2="parchment",G2&gt;12.5),"hold",IF(AND(E2="parchment",G2&gt;=11.6,G2&lt;=12.5),"monitor","approved"))))))</x:f>
        <x:v>approved</x:v>
      </x:c>
      <x:c r="O2" t="str">
        <x:v>posted</x:v>
      </x:c>
      <x:c r="P2" t="str">
        <x:v>Quality</x:v>
      </x:c>
      <x:c r="Q2" t="str">
        <x:v>2026-06-11 10:10</x:v>
      </x:c>
      <x:c r="R2" t="str">
        <x:v>2026-06-11 10:10</x:v>
      </x:c>
      <x:c r="S2" t="str">
        <x:v>Sample QIR-B summary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bag_id</x:v>
      </x:c>
      <x:c r="B1" t="str">
        <x:v>bag_code</x:v>
      </x:c>
      <x:c r="C1" t="str">
        <x:v>lot_code</x:v>
      </x:c>
      <x:c r="D1" t="str">
        <x:v>qirb_code</x:v>
      </x:c>
      <x:c r="E1" t="str">
        <x:v>item_type</x:v>
      </x:c>
      <x:c r="F1" t="str">
        <x:v>weight_kg</x:v>
      </x:c>
      <x:c r="G1" t="str">
        <x:v>bag_type</x:v>
      </x:c>
      <x:c r="H1" t="str">
        <x:v>current_location_code</x:v>
      </x:c>
      <x:c r="I1" t="str">
        <x:v>sealed_at</x:v>
      </x:c>
      <x:c r="J1" t="str">
        <x:v>status</x:v>
      </x:c>
      <x:c r="K1" t="str">
        <x:v>qr_url</x:v>
      </x:c>
      <x:c r="L1" t="str">
        <x:v>created_at</x:v>
      </x:c>
      <x:c r="M1" t="str">
        <x:v>created_by</x:v>
      </x:c>
      <x:c r="N1" t="str">
        <x:v>notes</x:v>
      </x:c>
    </x:row>
    <x:row r="2">
      <x:c r="A2" t="str">
        <x:v>AUTO</x:v>
      </x:c>
      <x:c r="B2" t="str">
        <x:v>BAG-2026-000001</x:v>
      </x:c>
      <x:c r="C2" t="str">
        <x:v>LOT-2026-000001</x:v>
      </x:c>
      <x:c r="D2" t="str">
        <x:v>QIRB-2026-000001</x:v>
      </x:c>
      <x:c r="E2" t="str">
        <x:v>parchment</x:v>
      </x:c>
      <x:c r="F2" t="n">
        <x:v>60</x:v>
      </x:c>
      <x:c r="G2" t="str">
        <x:v>jute</x:v>
      </x:c>
      <x:c r="H2" t="str">
        <x:v>RACK-PAR-001</x:v>
      </x:c>
      <x:c r="I2" t="str">
        <x:v>2026-06-11 11:00</x:v>
      </x:c>
      <x:c r="J2" t="str">
        <x:v>in_storage</x:v>
      </x:c>
      <x:c r="K2" t="str">
        <x:v>https://app.gulmicoffee.com/r/BAG-2026-000001</x:v>
      </x:c>
      <x:c r="L2" t="str">
        <x:v>2026-06-11 11:00</x:v>
      </x:c>
      <x:c r="M2" t="str">
        <x:v>Storage</x:v>
      </x:c>
      <x:c r="N2" t="str">
        <x:v>Sample first bag</x:v>
      </x:c>
    </x:row>
    <x:row r="3">
      <x:c r="A3" t="str">
        <x:v>AUTO</x:v>
      </x:c>
      <x:c r="B3" t="str">
        <x:v>BAG-2026-000002</x:v>
      </x:c>
      <x:c r="C3" t="str">
        <x:v>LOT-2026-000001</x:v>
      </x:c>
      <x:c r="D3" t="str">
        <x:v>QIRB-2026-000001</x:v>
      </x:c>
      <x:c r="E3" t="str">
        <x:v>parchment</x:v>
      </x:c>
      <x:c r="F3" t="n">
        <x:v>60</x:v>
      </x:c>
      <x:c r="G3" t="str">
        <x:v>jute</x:v>
      </x:c>
      <x:c r="H3" t="str">
        <x:v>RACK-PAR-001</x:v>
      </x:c>
      <x:c r="I3" t="str">
        <x:v>2026-06-11 11:00</x:v>
      </x:c>
      <x:c r="J3" t="str">
        <x:v>in_storage</x:v>
      </x:c>
      <x:c r="K3" t="str">
        <x:v>https://app.gulmicoffee.com/r/BAG-2026-000002</x:v>
      </x:c>
      <x:c r="L3" t="str">
        <x:v>2026-06-11 11:00</x:v>
      </x:c>
      <x:c r="M3" t="str">
        <x:v>Storage</x:v>
      </x:c>
      <x:c r="N3" t="str">
        <x:v>Sample second bag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movement_id</x:v>
      </x:c>
      <x:c r="B1" t="str">
        <x:v>movement_code</x:v>
      </x:c>
      <x:c r="C1" t="str">
        <x:v>bag_code</x:v>
      </x:c>
      <x:c r="D1" t="str">
        <x:v>from_location_code</x:v>
      </x:c>
      <x:c r="E1" t="str">
        <x:v>to_location_code</x:v>
      </x:c>
      <x:c r="F1" t="str">
        <x:v>movement_type</x:v>
      </x:c>
      <x:c r="G1" t="str">
        <x:v>moved_at</x:v>
      </x:c>
      <x:c r="H1" t="str">
        <x:v>moved_by</x:v>
      </x:c>
      <x:c r="I1" t="str">
        <x:v>reason</x:v>
      </x:c>
      <x:c r="J1" t="str">
        <x:v>notes</x:v>
      </x:c>
    </x:row>
    <x:row r="2">
      <x:c r="A2" t="str">
        <x:v>AUTO</x:v>
      </x:c>
      <x:c r="B2" t="str">
        <x:v>MOVE-2026-000001</x:v>
      </x:c>
      <x:c r="C2" t="str">
        <x:v>BAG-2026-000001</x:v>
      </x:c>
      <x:c r="D2" t="str">
        <x:v>RECEIVING</x:v>
      </x:c>
      <x:c r="E2" t="str">
        <x:v>RACK-PAR-001</x:v>
      </x:c>
      <x:c r="F2" t="str">
        <x:v>receive_to_storage</x:v>
      </x:c>
      <x:c r="G2" t="str">
        <x:v>2026-06-11 11:05</x:v>
      </x:c>
      <x:c r="H2" t="str">
        <x:v>Storage</x:v>
      </x:c>
      <x:c r="I2" t="str">
        <x:v>Initial storage after bagging</x:v>
      </x:c>
      <x:c r="J2" t="str">
        <x:v>Good condition</x:v>
      </x:c>
    </x:row>
    <x:row r="3">
      <x:c r="A3" t="str">
        <x:v>AUTO</x:v>
      </x:c>
      <x:c r="B3" t="str">
        <x:v>MOVE-2026-000002</x:v>
      </x:c>
      <x:c r="C3" t="str">
        <x:v>BAG-2026-000002</x:v>
      </x:c>
      <x:c r="D3" t="str">
        <x:v>RECEIVING</x:v>
      </x:c>
      <x:c r="E3" t="str">
        <x:v>RACK-PAR-001</x:v>
      </x:c>
      <x:c r="F3" t="str">
        <x:v>receive_to_storage</x:v>
      </x:c>
      <x:c r="G3" t="str">
        <x:v>2026-06-11 11:05</x:v>
      </x:c>
      <x:c r="H3" t="str">
        <x:v>Storage</x:v>
      </x:c>
      <x:c r="I3" t="str">
        <x:v>Initial storage after bagging</x:v>
      </x:c>
      <x:c r="J3" t="str">
        <x:v>Good condition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environment_log_id</x:v>
      </x:c>
      <x:c r="B1" t="str">
        <x:v>location_code</x:v>
      </x:c>
      <x:c r="C1" t="str">
        <x:v>temperature_c</x:v>
      </x:c>
      <x:c r="D1" t="str">
        <x:v>humidity_pct</x:v>
      </x:c>
      <x:c r="E1" t="str">
        <x:v>ac_status</x:v>
      </x:c>
      <x:c r="F1" t="str">
        <x:v>exhaust_status</x:v>
      </x:c>
      <x:c r="G1" t="str">
        <x:v>risk_flag</x:v>
      </x:c>
      <x:c r="H1" t="str">
        <x:v>logged_at</x:v>
      </x:c>
      <x:c r="I1" t="str">
        <x:v>logged_by</x:v>
      </x:c>
      <x:c r="J1" t="str">
        <x:v>remarks</x:v>
      </x:c>
    </x:row>
    <x:row r="2">
      <x:c r="A2" t="str">
        <x:v>AUTO</x:v>
      </x:c>
      <x:c r="B2" t="str">
        <x:v>RACK-PAR-001</x:v>
      </x:c>
      <x:c r="C2" t="n">
        <x:v>24.5</x:v>
      </x:c>
      <x:c r="D2" t="n">
        <x:v>58</x:v>
      </x:c>
      <x:c r="E2" t="str">
        <x:v>off</x:v>
      </x:c>
      <x:c r="F2" t="str">
        <x:v>on</x:v>
      </x:c>
      <x:c r="G2" t="str">
        <x:v>ideal</x:v>
      </x:c>
      <x:c r="H2" t="str">
        <x:v>2026-06-11 12:00</x:v>
      </x:c>
      <x:c r="I2" t="str">
        <x:v>Storage</x:v>
      </x:c>
      <x:c r="J2" t="str">
        <x:v>Normal condition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exception_id</x:v>
      </x:c>
      <x:c r="B1" t="str">
        <x:v>exception_code</x:v>
      </x:c>
      <x:c r="C1" t="str">
        <x:v>subject_type</x:v>
      </x:c>
      <x:c r="D1" t="str">
        <x:v>subject_code</x:v>
      </x:c>
      <x:c r="E1" t="str">
        <x:v>exception_type</x:v>
      </x:c>
      <x:c r="F1" t="str">
        <x:v>severity</x:v>
      </x:c>
      <x:c r="G1" t="str">
        <x:v>reason</x:v>
      </x:c>
      <x:c r="H1" t="str">
        <x:v>action_taken</x:v>
      </x:c>
      <x:c r="I1" t="str">
        <x:v>raised_by</x:v>
      </x:c>
      <x:c r="J1" t="str">
        <x:v>approved_by</x:v>
      </x:c>
      <x:c r="K1" t="str">
        <x:v>status</x:v>
      </x:c>
      <x:c r="L1" t="str">
        <x:v>created_at</x:v>
      </x:c>
      <x:c r="M1" t="str">
        <x:v>resolved_at</x:v>
      </x:c>
      <x:c r="N1" t="str">
        <x:v>notes</x:v>
      </x:c>
    </x:row>
    <x:row r="2">
      <x:c r="A2" t="str">
        <x:v>AUTO</x:v>
      </x:c>
      <x:c r="B2" t="str">
        <x:v>EXC-2026-000001</x:v>
      </x:c>
      <x:c r="C2" t="str">
        <x:v>qirb</x:v>
      </x:c>
      <x:c r="D2" t="str">
        <x:v>QIRB-2026-000001</x:v>
      </x:c>
      <x:c r="E2" t="str">
        <x:v>manual_override</x:v>
      </x:c>
      <x:c r="F2" t="str">
        <x:v>low</x:v>
      </x:c>
      <x:c r="G2" t="str">
        <x:v>Sample exception row only</x:v>
      </x:c>
      <x:c r="H2" t="str">
        <x:v>No action needed</x:v>
      </x:c>
      <x:c r="I2" t="str">
        <x:v>Admin</x:v>
      </x:c>
      <x:c r="J2" t="str">
        <x:v>Manager</x:v>
      </x:c>
      <x:c r="K2" t="str">
        <x:v>resolved</x:v>
      </x:c>
      <x:c r="L2" t="str">
        <x:v>2026-06-11 12:30</x:v>
      </x:c>
      <x:c r="M2" t="str">
        <x:v>2026-06-11 12:45</x:v>
      </x:c>
      <x:c r="N2" t="str">
        <x:v>Delete sample row when operating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t="str">
        <x:v>ledger_id</x:v>
      </x:c>
      <x:c r="B1" t="str">
        <x:v>ledger_code</x:v>
      </x:c>
      <x:c r="C1" t="str">
        <x:v>item_type</x:v>
      </x:c>
      <x:c r="D1" t="str">
        <x:v>item_code</x:v>
      </x:c>
      <x:c r="E1" t="str">
        <x:v>location_code</x:v>
      </x:c>
      <x:c r="F1" t="str">
        <x:v>qty_delta</x:v>
      </x:c>
      <x:c r="G1" t="str">
        <x:v>uom</x:v>
      </x:c>
      <x:c r="H1" t="str">
        <x:v>movement_reason</x:v>
      </x:c>
      <x:c r="I1" t="str">
        <x:v>ref_doc_type</x:v>
      </x:c>
      <x:c r="J1" t="str">
        <x:v>ref_doc_code</x:v>
      </x:c>
      <x:c r="K1" t="str">
        <x:v>created_at</x:v>
      </x:c>
      <x:c r="L1" t="str">
        <x:v>created_by</x:v>
      </x:c>
      <x:c r="M1" t="str">
        <x:v>notes</x:v>
      </x:c>
    </x:row>
    <x:row r="2">
      <x:c r="A2" t="str">
        <x:v>AUTO</x:v>
      </x:c>
      <x:c r="B2" t="str">
        <x:v>LEDGER-2026-000001</x:v>
      </x:c>
      <x:c r="C2" t="str">
        <x:v>bag</x:v>
      </x:c>
      <x:c r="D2" t="str">
        <x:v>BAG-2026-000001</x:v>
      </x:c>
      <x:c r="E2" t="str">
        <x:v>RACK-PAR-001</x:v>
      </x:c>
      <x:c r="F2" t="n">
        <x:v>60</x:v>
      </x:c>
      <x:c r="G2" t="str">
        <x:v>kg</x:v>
      </x:c>
      <x:c r="H2" t="str">
        <x:v>bag_created</x:v>
      </x:c>
      <x:c r="I2" t="str">
        <x:v>bag</x:v>
      </x:c>
      <x:c r="J2" t="str">
        <x:v>BAG-2026-000001</x:v>
      </x:c>
      <x:c r="K2" t="str">
        <x:v>2026-06-11 11:05</x:v>
      </x:c>
      <x:c r="L2" t="str">
        <x:v>Storage</x:v>
      </x:c>
      <x:c r="M2" t="str">
        <x:v>Bag created after approved QIR-B</x:v>
      </x:c>
    </x:row>
    <x:row r="3">
      <x:c r="A3" t="str">
        <x:v>AUTO</x:v>
      </x:c>
      <x:c r="B3" t="str">
        <x:v>LEDGER-2026-000002</x:v>
      </x:c>
      <x:c r="C3" t="str">
        <x:v>bag</x:v>
      </x:c>
      <x:c r="D3" t="str">
        <x:v>BAG-2026-000002</x:v>
      </x:c>
      <x:c r="E3" t="str">
        <x:v>RACK-PAR-001</x:v>
      </x:c>
      <x:c r="F3" t="n">
        <x:v>60</x:v>
      </x:c>
      <x:c r="G3" t="str">
        <x:v>kg</x:v>
      </x:c>
      <x:c r="H3" t="str">
        <x:v>bag_created</x:v>
      </x:c>
      <x:c r="I3" t="str">
        <x:v>bag</x:v>
      </x:c>
      <x:c r="J3" t="str">
        <x:v>BAG-2026-000002</x:v>
      </x:c>
      <x:c r="K3" t="str">
        <x:v>2026-06-11 11:05</x:v>
      </x:c>
      <x:c r="L3" t="str">
        <x:v>Storage</x:v>
      </x:c>
      <x:c r="M3" t="str">
        <x:v>Bag created after approved QIR-B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t="str">
        <x:v>audit_id</x:v>
      </x:c>
      <x:c r="B1" t="str">
        <x:v>audit_code</x:v>
      </x:c>
      <x:c r="C1" t="str">
        <x:v>table_name</x:v>
      </x:c>
      <x:c r="D1" t="str">
        <x:v>record_code</x:v>
      </x:c>
      <x:c r="E1" t="str">
        <x:v>action</x:v>
      </x:c>
      <x:c r="F1" t="str">
        <x:v>old_value_json</x:v>
      </x:c>
      <x:c r="G1" t="str">
        <x:v>new_value_json</x:v>
      </x:c>
      <x:c r="H1" t="str">
        <x:v>actor</x:v>
      </x:c>
      <x:c r="I1" t="str">
        <x:v>action_time</x:v>
      </x:c>
      <x:c r="J1" t="str">
        <x:v>ip_address</x:v>
      </x:c>
      <x:c r="K1" t="str">
        <x:v>device_id</x:v>
      </x:c>
      <x:c r="L1" t="str">
        <x:v>notes</x:v>
      </x:c>
    </x:row>
    <x:row r="2">
      <x:c r="A2" t="str">
        <x:v>AUTO</x:v>
      </x:c>
      <x:c r="B2" t="str">
        <x:v>AUDIT-2026-000001</x:v>
      </x:c>
      <x:c r="C2" t="str">
        <x:v>Farmers</x:v>
      </x:c>
      <x:c r="D2" t="str">
        <x:v>FARM-2026-000001</x:v>
      </x:c>
      <x:c r="E2" t="str">
        <x:v>create</x:v>
      </x:c>
      <x:c r="F2" t="str">
        <x:v>{}</x:v>
      </x:c>
      <x:c r="G2" t="str">
        <x:v>{"farmer_name":"Ram Bahadur","village":"Tamghas"}</x:v>
      </x:c>
      <x:c r="H2" t="str">
        <x:v>Admin</x:v>
      </x:c>
      <x:c r="I2" t="str">
        <x:v>2026-06-11 09:00</x:v>
      </x:c>
      <x:c r="J2" t="str">
        <x:v>192.168.1.10</x:v>
      </x:c>
      <x:c r="K2" t="str">
        <x:v>LAPTOP-ADMIN</x:v>
      </x:c>
      <x:c r="L2" t="str">
        <x:v>Sample farmer created</x:v>
      </x:c>
    </x:row>
    <x:row r="3">
      <x:c r="A3" t="str">
        <x:v>AUTO</x:v>
      </x:c>
      <x:c r="B3" t="str">
        <x:v>AUDIT-2026-000002</x:v>
      </x:c>
      <x:c r="C3" t="str">
        <x:v>Bags</x:v>
      </x:c>
      <x:c r="D3" t="str">
        <x:v>BAG-2026-000001</x:v>
      </x:c>
      <x:c r="E3" t="str">
        <x:v>print_qr</x:v>
      </x:c>
      <x:c r="F3" t="str">
        <x:v>{}</x:v>
      </x:c>
      <x:c r="G3" t="str">
        <x:v>{"qr_url":"https://app.gulmicoffee.com/r/BAG-2026-000001"}</x:v>
      </x:c>
      <x:c r="H3" t="str">
        <x:v>Storage</x:v>
      </x:c>
      <x:c r="I3" t="str">
        <x:v>2026-06-11 11:10</x:v>
      </x:c>
      <x:c r="J3" t="str">
        <x:v>192.168.1.20</x:v>
      </x:c>
      <x:c r="K3" t="str">
        <x:v>PHONE-STORE-01</x:v>
      </x:c>
      <x:c r="L3" t="str">
        <x:v>Sample QR printed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t="str">
        <x:v>List Name</x:v>
      </x:c>
      <x:c r="B1" t="str">
        <x:v>Allowed Values</x:v>
      </x:c>
    </x:row>
    <x:row r="2">
      <x:c r="A2" t="str">
        <x:v>farmer_type</x:v>
      </x:c>
      <x:c r="B2" t="str">
        <x:v>farmer, collector, cooperative, supplier</x:v>
      </x:c>
    </x:row>
    <x:row r="3">
      <x:c r="A3" t="str">
        <x:v>user_role</x:v>
      </x:c>
      <x:c r="B3" t="str">
        <x:v>Admin, Manager, Quality, Storage, Production, Sales, Viewer</x:v>
      </x:c>
    </x:row>
    <x:row r="4">
      <x:c r="A4" t="str">
        <x:v>item_type</x:v>
      </x:c>
      <x:c r="B4" t="str">
        <x:v>fresh_cherry, dry_cherry, parchment, green_bean, roasted_bean</x:v>
      </x:c>
    </x:row>
    <x:row r="5">
      <x:c r="A5" t="str">
        <x:v>lot_status</x:v>
      </x:c>
      <x:c r="B5" t="str">
        <x:v>draft, received, quality_pending, approved, hold, bagged, closed</x:v>
      </x:c>
    </x:row>
    <x:row r="6">
      <x:c r="A6" t="str">
        <x:v>procurement_status</x:v>
      </x:c>
      <x:c r="B6" t="str">
        <x:v>draft, posted, cancelled, adjusted</x:v>
      </x:c>
    </x:row>
    <x:row r="7">
      <x:c r="A7" t="str">
        <x:v>qirb_decision</x:v>
      </x:c>
      <x:c r="B7" t="str">
        <x:v>approved, monitor, hold, retake</x:v>
      </x:c>
    </x:row>
    <x:row r="8">
      <x:c r="A8" t="str">
        <x:v>bag_status</x:v>
      </x:c>
      <x:c r="B8" t="str">
        <x:v>in_storage, on_hold, moved, consumed, lost, closed</x:v>
      </x:c>
    </x:row>
    <x:row r="9">
      <x:c r="A9" t="str">
        <x:v>movement_type</x:v>
      </x:c>
      <x:c r="B9" t="str">
        <x:v>receive_to_storage, transfer, move_to_drying, return_from_drying, move_to_hulling, hold, release, adjustment</x:v>
      </x:c>
    </x:row>
    <x:row r="10">
      <x:c r="A10" t="str">
        <x:v>environment_risk</x:v>
      </x:c>
      <x:c r="B10" t="str">
        <x:v>dry_risk, ideal, monitor, risk, critical</x:v>
      </x:c>
    </x:row>
    <x:row r="11">
      <x:c r="A11" t="str">
        <x:v>exception_severity</x:v>
      </x:c>
      <x:c r="B11" t="str">
        <x:v>low, medium, high, critical</x:v>
      </x:c>
    </x:row>
    <x:row r="12">
      <x:c r="A12" t="str">
        <x:v>audit_action</x:v>
      </x:c>
      <x:c r="B12" t="str">
        <x:v>create, update_draft, post, cancel, adjust, approve, reject, login, logout, export, print_qr, scan_qr, override, delete_draft</x:v>
      </x:c>
    </x:row>
  </x:sheetData>
  <x:pageMargins left="0.7" right="0.7" top="0.75" bottom="0.75" header="0.3" footer="0.3"/>
</x:worksheet>
</file>